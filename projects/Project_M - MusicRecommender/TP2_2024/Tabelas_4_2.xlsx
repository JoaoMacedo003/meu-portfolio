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225"/>
  <workbookPr/>
  <mc:AlternateContent xmlns:mc="http://schemas.openxmlformats.org/markup-compatibility/2006">
    <mc:Choice Requires="x15">
      <x15ac:absPath xmlns:x15ac="http://schemas.microsoft.com/office/spreadsheetml/2010/11/ac" url="C:\Users\x\Downloads\"/>
    </mc:Choice>
  </mc:AlternateContent>
  <xr:revisionPtr revIDLastSave="0" documentId="13_ncr:1_{784BF095-B9D3-4696-A0FB-56E8B1FE0F8D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Folh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G15" i="1" l="1"/>
  <c r="AF15" i="1"/>
  <c r="AE15" i="1"/>
  <c r="AD15" i="1"/>
  <c r="AH15" i="1" s="1"/>
  <c r="AG14" i="1"/>
  <c r="AF14" i="1"/>
  <c r="AE14" i="1"/>
  <c r="AD14" i="1"/>
  <c r="X15" i="1"/>
  <c r="W15" i="1"/>
  <c r="V15" i="1"/>
  <c r="U15" i="1"/>
  <c r="X14" i="1"/>
  <c r="W14" i="1"/>
  <c r="V14" i="1"/>
  <c r="U14" i="1"/>
  <c r="O15" i="1"/>
  <c r="N15" i="1"/>
  <c r="M15" i="1"/>
  <c r="L15" i="1"/>
  <c r="O14" i="1"/>
  <c r="N14" i="1"/>
  <c r="M14" i="1"/>
  <c r="L14" i="1"/>
  <c r="C15" i="1"/>
  <c r="D15" i="1"/>
  <c r="E15" i="1"/>
  <c r="F15" i="1"/>
  <c r="H6" i="1"/>
  <c r="G12" i="1"/>
  <c r="D14" i="1"/>
  <c r="E14" i="1"/>
  <c r="F14" i="1"/>
  <c r="C14" i="1"/>
  <c r="H11" i="1"/>
  <c r="AI3" i="1"/>
  <c r="AI4" i="1"/>
  <c r="AI5" i="1"/>
  <c r="AI6" i="1"/>
  <c r="AI7" i="1"/>
  <c r="AI8" i="1"/>
  <c r="AI9" i="1"/>
  <c r="AI10" i="1"/>
  <c r="AI11" i="1"/>
  <c r="AI12" i="1"/>
  <c r="AH3" i="1"/>
  <c r="AH4" i="1"/>
  <c r="AH5" i="1"/>
  <c r="AH6" i="1"/>
  <c r="AH7" i="1"/>
  <c r="AH8" i="1"/>
  <c r="AH9" i="1"/>
  <c r="AH10" i="1"/>
  <c r="AH11" i="1"/>
  <c r="AH12" i="1"/>
  <c r="Z3" i="1"/>
  <c r="Z4" i="1"/>
  <c r="Z5" i="1"/>
  <c r="Z6" i="1"/>
  <c r="Z7" i="1"/>
  <c r="Z8" i="1"/>
  <c r="Z9" i="1"/>
  <c r="Z10" i="1"/>
  <c r="Z11" i="1"/>
  <c r="Z12" i="1"/>
  <c r="Y3" i="1"/>
  <c r="Y4" i="1"/>
  <c r="Y5" i="1"/>
  <c r="Y6" i="1"/>
  <c r="Y7" i="1"/>
  <c r="Y8" i="1"/>
  <c r="Y9" i="1"/>
  <c r="Y10" i="1"/>
  <c r="Y11" i="1"/>
  <c r="Y12" i="1"/>
  <c r="Q3" i="1"/>
  <c r="Q4" i="1"/>
  <c r="Q5" i="1"/>
  <c r="Q6" i="1"/>
  <c r="Q7" i="1"/>
  <c r="Q8" i="1"/>
  <c r="Q9" i="1"/>
  <c r="Q10" i="1"/>
  <c r="Q11" i="1"/>
  <c r="Q12" i="1"/>
  <c r="P3" i="1"/>
  <c r="P4" i="1"/>
  <c r="P5" i="1"/>
  <c r="P6" i="1"/>
  <c r="P7" i="1"/>
  <c r="P8" i="1"/>
  <c r="P9" i="1"/>
  <c r="P10" i="1"/>
  <c r="P11" i="1"/>
  <c r="P12" i="1"/>
  <c r="H3" i="1"/>
  <c r="H4" i="1"/>
  <c r="H5" i="1"/>
  <c r="H7" i="1"/>
  <c r="H8" i="1"/>
  <c r="H9" i="1"/>
  <c r="H10" i="1"/>
  <c r="H12" i="1"/>
  <c r="G3" i="1"/>
  <c r="G4" i="1"/>
  <c r="G5" i="1"/>
  <c r="G6" i="1"/>
  <c r="G7" i="1"/>
  <c r="G8" i="1"/>
  <c r="G9" i="1"/>
  <c r="G10" i="1"/>
  <c r="G11" i="1"/>
  <c r="P14" i="1" l="1"/>
  <c r="G15" i="1"/>
  <c r="P15" i="1"/>
  <c r="Y14" i="1"/>
  <c r="Y15" i="1"/>
  <c r="G14" i="1"/>
  <c r="AH14" i="1"/>
</calcChain>
</file>

<file path=xl/sharedStrings.xml><?xml version="1.0" encoding="utf-8"?>
<sst xmlns="http://schemas.openxmlformats.org/spreadsheetml/2006/main" count="80" uniqueCount="36">
  <si>
    <t>Retrieved Docs</t>
  </si>
  <si>
    <t>Bruno</t>
  </si>
  <si>
    <t>Diogo</t>
  </si>
  <si>
    <t>João</t>
  </si>
  <si>
    <t>Pedro</t>
  </si>
  <si>
    <t>MEAN</t>
  </si>
  <si>
    <t>STD</t>
  </si>
  <si>
    <t>MT0003949060</t>
  </si>
  <si>
    <t>MT0004274911</t>
  </si>
  <si>
    <t>MT0001515531</t>
  </si>
  <si>
    <t>MT0000040632</t>
  </si>
  <si>
    <t>MT0003900455</t>
  </si>
  <si>
    <t>MT0009897495</t>
  </si>
  <si>
    <t>MT0004032071</t>
  </si>
  <si>
    <t>MT0005469880</t>
  </si>
  <si>
    <t>MT0007043936</t>
  </si>
  <si>
    <t>MT0034005433</t>
  </si>
  <si>
    <t>Distancia Eucladiana</t>
  </si>
  <si>
    <t>Distancia de Manhattan</t>
  </si>
  <si>
    <t>Distancia de Cosseno</t>
  </si>
  <si>
    <t>Ranking Metadados</t>
  </si>
  <si>
    <t>MT0000218346</t>
  </si>
  <si>
    <t>MT0008401073</t>
  </si>
  <si>
    <t>MT0034125967</t>
  </si>
  <si>
    <t>MT0001624303</t>
  </si>
  <si>
    <t>MT0001942272</t>
  </si>
  <si>
    <t>MT0002634024</t>
  </si>
  <si>
    <t>MT0005752234</t>
  </si>
  <si>
    <t>MT0002222957</t>
  </si>
  <si>
    <t>MT0010489498</t>
  </si>
  <si>
    <t>MT0012331779</t>
  </si>
  <si>
    <t>MT0027048677</t>
  </si>
  <si>
    <t>MT0033397838</t>
  </si>
  <si>
    <t>MT0010487769</t>
  </si>
  <si>
    <t>MT0008222676</t>
  </si>
  <si>
    <t>MT0010900969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</si>
</sst>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73" formatCode="#,##0.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000000"/>
      <name val="Aptos Narrow"/>
      <family val="2"/>
    </font>
  </fonts>
  <fills count="8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3" fontId="0" fillId="0" borderId="0" xfId="0" applyNumberFormat="1"/>
    <xf numFmtId="0" fontId="2" fillId="0" borderId="1" xfId="0" applyFont="1" applyBorder="1" applyAlignment="1">
      <alignment horizontal="left"/>
    </xf>
    <xf numFmtId="0" fontId="0" fillId="0" borderId="1" xfId="0" applyBorder="1"/>
    <xf numFmtId="3" fontId="0" fillId="0" borderId="2" xfId="0" applyNumberFormat="1" applyBorder="1"/>
    <xf numFmtId="0" fontId="0" fillId="0" borderId="3" xfId="0" applyBorder="1"/>
    <xf numFmtId="0" fontId="0" fillId="0" borderId="4" xfId="0" applyBorder="1"/>
    <xf numFmtId="3" fontId="1" fillId="0" borderId="5" xfId="0" applyNumberFormat="1" applyFont="1" applyBorder="1" applyAlignment="1">
      <alignment horizontal="right"/>
    </xf>
    <xf numFmtId="0" fontId="0" fillId="0" borderId="6" xfId="0" applyBorder="1"/>
    <xf numFmtId="3" fontId="0" fillId="0" borderId="5" xfId="0" applyNumberFormat="1" applyBorder="1"/>
    <xf numFmtId="3" fontId="0" fillId="0" borderId="7" xfId="0" applyNumberFormat="1" applyBorder="1"/>
    <xf numFmtId="0" fontId="0" fillId="0" borderId="8" xfId="0" applyBorder="1"/>
    <xf numFmtId="0" fontId="0" fillId="0" borderId="9" xfId="0" applyBorder="1"/>
    <xf numFmtId="0" fontId="0" fillId="0" borderId="2" xfId="0" applyBorder="1"/>
    <xf numFmtId="0" fontId="0" fillId="2" borderId="3" xfId="0" applyFill="1" applyBorder="1"/>
    <xf numFmtId="0" fontId="0" fillId="0" borderId="5" xfId="0" applyBorder="1"/>
    <xf numFmtId="0" fontId="0" fillId="5" borderId="1" xfId="0" applyFill="1" applyBorder="1"/>
    <xf numFmtId="164" fontId="0" fillId="0" borderId="6" xfId="0" applyNumberFormat="1" applyBorder="1"/>
    <xf numFmtId="0" fontId="0" fillId="6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0" borderId="7" xfId="0" applyBorder="1"/>
    <xf numFmtId="0" fontId="0" fillId="4" borderId="8" xfId="0" applyFill="1" applyBorder="1"/>
    <xf numFmtId="164" fontId="0" fillId="0" borderId="9" xfId="0" applyNumberFormat="1" applyBorder="1"/>
    <xf numFmtId="173" fontId="0" fillId="0" borderId="5" xfId="0" applyNumberFormat="1" applyBorder="1"/>
    <xf numFmtId="173" fontId="0" fillId="0" borderId="1" xfId="0" applyNumberFormat="1" applyBorder="1"/>
    <xf numFmtId="173" fontId="0" fillId="0" borderId="6" xfId="0" applyNumberFormat="1" applyBorder="1"/>
    <xf numFmtId="4" fontId="0" fillId="0" borderId="5" xfId="0" applyNumberFormat="1" applyBorder="1"/>
    <xf numFmtId="4" fontId="0" fillId="0" borderId="1" xfId="0" applyNumberFormat="1" applyBorder="1"/>
    <xf numFmtId="4" fontId="0" fillId="0" borderId="6" xfId="0" applyNumberFormat="1" applyBorder="1"/>
    <xf numFmtId="3" fontId="0" fillId="0" borderId="1" xfId="0" applyNumberFormat="1" applyBorder="1"/>
    <xf numFmtId="165" fontId="0" fillId="0" borderId="3" xfId="0" applyNumberFormat="1" applyBorder="1"/>
    <xf numFmtId="164" fontId="0" fillId="0" borderId="1" xfId="0" applyNumberFormat="1" applyBorder="1"/>
    <xf numFmtId="1" fontId="0" fillId="0" borderId="1" xfId="0" applyNumberFormat="1" applyBorder="1"/>
    <xf numFmtId="165" fontId="0" fillId="0" borderId="1" xfId="0" applyNumberFormat="1" applyBorder="1"/>
    <xf numFmtId="164" fontId="0" fillId="0" borderId="8" xfId="0" applyNumberFormat="1" applyBorder="1"/>
    <xf numFmtId="173" fontId="0" fillId="4" borderId="1" xfId="0" applyNumberFormat="1" applyFill="1" applyBorder="1"/>
    <xf numFmtId="0" fontId="0" fillId="7" borderId="1" xfId="0" applyFill="1" applyBorder="1"/>
    <xf numFmtId="164" fontId="0" fillId="7" borderId="1" xfId="0" applyNumberFormat="1" applyFill="1" applyBorder="1"/>
    <xf numFmtId="0" fontId="0" fillId="2" borderId="1" xfId="0" applyFill="1" applyBorder="1"/>
    <xf numFmtId="0" fontId="0" fillId="6" borderId="8" xfId="0" applyFill="1" applyBorder="1"/>
    <xf numFmtId="0" fontId="0" fillId="0" borderId="1" xfId="0" applyFont="1" applyBorder="1"/>
    <xf numFmtId="0" fontId="0" fillId="3" borderId="8" xfId="0" applyFill="1" applyBorder="1"/>
    <xf numFmtId="0" fontId="0" fillId="2" borderId="4" xfId="0" applyFill="1" applyBorder="1"/>
    <xf numFmtId="0" fontId="0" fillId="2" borderId="6" xfId="0" applyFill="1" applyBorder="1"/>
    <xf numFmtId="0" fontId="0" fillId="3" borderId="6" xfId="0" applyFill="1" applyBorder="1"/>
    <xf numFmtId="173" fontId="0" fillId="2" borderId="6" xfId="0" applyNumberFormat="1" applyFill="1" applyBorder="1"/>
    <xf numFmtId="0" fontId="0" fillId="5" borderId="9" xfId="0" applyFill="1" applyBorder="1"/>
    <xf numFmtId="0" fontId="0" fillId="0" borderId="7" xfId="0" applyFont="1" applyBorder="1"/>
  </cellXfs>
  <cellStyles count="1">
    <cellStyle name="Normal" xfId="0" builtinId="0"/>
  </cellStyles>
  <dxfs count="17">
    <dxf>
      <numFmt numFmtId="0" formatCode="General"/>
      <border diagonalUp="0" diagonalDown="0">
        <left/>
        <right style="thin">
          <color indexed="64"/>
        </right>
        <top/>
        <bottom/>
        <vertical/>
        <horizontal/>
      </border>
    </dxf>
    <dxf>
      <border diagonalUp="0" diagonalDown="0">
        <left style="thin">
          <color indexed="64"/>
        </left>
        <right/>
        <top/>
        <bottom/>
        <vertical/>
        <horizontal/>
      </border>
    </dxf>
    <dxf>
      <numFmt numFmtId="0" formatCode="General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/>
        <right style="thin">
          <color indexed="64"/>
        </right>
        <top/>
        <bottom/>
        <vertical/>
        <horizontal/>
      </border>
    </dxf>
    <dxf>
      <border diagonalUp="0" diagonalDown="0">
        <left style="thin">
          <color indexed="64"/>
        </left>
        <right/>
        <top/>
        <bottom/>
        <vertical/>
        <horizontal/>
      </border>
    </dxf>
    <dxf>
      <numFmt numFmtId="0" formatCode="General"/>
    </dxf>
    <dxf>
      <numFmt numFmtId="0" formatCode="General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/>
        <right style="thin">
          <color indexed="64"/>
        </right>
        <top/>
        <bottom/>
        <vertical/>
        <horizontal/>
      </border>
    </dxf>
    <dxf>
      <border diagonalUp="0" diagonalDown="0">
        <left style="thin">
          <color indexed="64"/>
        </left>
        <right/>
        <top/>
        <bottom/>
        <vertical/>
        <horizontal/>
      </border>
    </dxf>
    <dxf>
      <numFmt numFmtId="0" formatCode="General"/>
    </dxf>
    <dxf>
      <numFmt numFmtId="0" formatCode="General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</dxf>
    <dxf>
      <numFmt numFmtId="0" formatCode="General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14" displayName="Tabela14" ref="T2:Z16" totalsRowShown="0" tableBorderDxfId="8">
  <autoFilter ref="T2:Z16" xr:uid="{00000000-0009-0000-0100-000001000000}"/>
  <tableColumns count="7">
    <tableColumn id="1" xr3:uid="{00000000-0010-0000-0000-000001000000}" name="Retrieved Docs" totalsRowLabel="Total"/>
    <tableColumn id="2" xr3:uid="{00000000-0010-0000-0000-000002000000}" name="Bruno" dataDxfId="5"/>
    <tableColumn id="3" xr3:uid="{00000000-0010-0000-0000-000003000000}" name="Diogo"/>
    <tableColumn id="4" xr3:uid="{00000000-0010-0000-0000-000004000000}" name="João"/>
    <tableColumn id="5" xr3:uid="{00000000-0010-0000-0000-000005000000}" name="Pedro" dataDxfId="4"/>
    <tableColumn id="6" xr3:uid="{00000000-0010-0000-0000-000006000000}" name="MEAN" dataDxfId="7">
      <calculatedColumnFormula>AVERAGE(Tabela14[[#This Row],[Bruno]:[Pedro]])</calculatedColumnFormula>
    </tableColumn>
    <tableColumn id="7" xr3:uid="{00000000-0010-0000-0000-000007000000}" name="STD" totalsRowFunction="count" dataDxfId="6">
      <calculatedColumnFormula>_xlfn.STDEV.P(Tabela14[[#This Row],[Bruno]:[Pedro]])</calculatedColumnFormula>
    </tableColumn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ela13" displayName="Tabela13" ref="K2:Q16" totalsRowShown="0" tableBorderDxfId="13">
  <autoFilter ref="K2:Q16" xr:uid="{00000000-0009-0000-0100-000002000000}"/>
  <tableColumns count="7">
    <tableColumn id="1" xr3:uid="{00000000-0010-0000-0100-000001000000}" name="Retrieved Docs" totalsRowLabel="Total"/>
    <tableColumn id="2" xr3:uid="{00000000-0010-0000-0100-000002000000}" name="Bruno" dataDxfId="10"/>
    <tableColumn id="3" xr3:uid="{00000000-0010-0000-0100-000003000000}" name="Diogo"/>
    <tableColumn id="4" xr3:uid="{00000000-0010-0000-0100-000004000000}" name="João"/>
    <tableColumn id="5" xr3:uid="{00000000-0010-0000-0100-000005000000}" name="Pedro" dataDxfId="9"/>
    <tableColumn id="6" xr3:uid="{00000000-0010-0000-0100-000006000000}" name="MEAN" dataDxfId="12">
      <calculatedColumnFormula>AVERAGE(Tabela13[[#This Row],[Bruno]:[Pedro]])</calculatedColumnFormula>
    </tableColumn>
    <tableColumn id="7" xr3:uid="{00000000-0010-0000-0100-000007000000}" name="STD" totalsRowFunction="count" dataDxfId="11">
      <calculatedColumnFormula>_xlfn.STDEV.P(Tabela13[[#This Row],[Bruno]:[Pedro]])</calculatedColumnFormula>
    </tableColumn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ela1" displayName="Tabela1" ref="B2:H16" totalsRowShown="0" tableBorderDxfId="16">
  <autoFilter ref="B2:H16" xr:uid="{00000000-0009-0000-0100-000003000000}"/>
  <tableColumns count="7">
    <tableColumn id="1" xr3:uid="{00000000-0010-0000-0200-000001000000}" name="Retrieved Docs" totalsRowLabel="Total"/>
    <tableColumn id="2" xr3:uid="{00000000-0010-0000-0200-000002000000}" name="Bruno"/>
    <tableColumn id="3" xr3:uid="{00000000-0010-0000-0200-000003000000}" name="Diogo"/>
    <tableColumn id="4" xr3:uid="{00000000-0010-0000-0200-000004000000}" name="João"/>
    <tableColumn id="5" xr3:uid="{00000000-0010-0000-0200-000005000000}" name="Pedro"/>
    <tableColumn id="6" xr3:uid="{00000000-0010-0000-0200-000006000000}" name="MEAN" dataDxfId="15">
      <calculatedColumnFormula>AVERAGE(Tabela1[[#This Row],[Bruno]:[Pedro]])</calculatedColumnFormula>
    </tableColumn>
    <tableColumn id="7" xr3:uid="{00000000-0010-0000-0200-000007000000}" name="STD" totalsRowFunction="count" dataDxfId="14">
      <calculatedColumnFormula>_xlfn.STDEV.P(Tabela1[[#This Row],[Bruno]:[Pedro]])</calculatedColumnFormula>
    </tableColumn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ela15" displayName="Tabela15" ref="AC2:AI16" totalsRowShown="0" tableBorderDxfId="3">
  <autoFilter ref="AC2:AI16" xr:uid="{00000000-0009-0000-0100-000004000000}"/>
  <tableColumns count="7">
    <tableColumn id="1" xr3:uid="{00000000-0010-0000-0300-000001000000}" name="Retrieved Docs" totalsRowLabel="Total"/>
    <tableColumn id="2" xr3:uid="{00000000-0010-0000-0300-000002000000}" name="Bruno" dataDxfId="1"/>
    <tableColumn id="3" xr3:uid="{00000000-0010-0000-0300-000003000000}" name="Diogo"/>
    <tableColumn id="4" xr3:uid="{00000000-0010-0000-0300-000004000000}" name="João"/>
    <tableColumn id="5" xr3:uid="{00000000-0010-0000-0300-000005000000}" name="Pedro"/>
    <tableColumn id="6" xr3:uid="{00000000-0010-0000-0300-000006000000}" name="MEAN" dataDxfId="0">
      <calculatedColumnFormula>AVERAGE(Tabela15[[#This Row],[Bruno]:[Pedro]])</calculatedColumnFormula>
    </tableColumn>
    <tableColumn id="7" xr3:uid="{00000000-0010-0000-0300-000007000000}" name="STD" totalsRowFunction="count" dataDxfId="2">
      <calculatedColumnFormula>_xlfn.STDEV.P(Tabela15[[#This Row],[Bruno]:[Pedro]])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B2:AI27"/>
  <sheetViews>
    <sheetView tabSelected="1" topLeftCell="U1" zoomScale="80" zoomScaleNormal="80" workbookViewId="0">
      <selection activeCell="AA29" sqref="AA29"/>
    </sheetView>
  </sheetViews>
  <sheetFormatPr defaultRowHeight="15" x14ac:dyDescent="0.25"/>
  <cols>
    <col min="2" max="2" width="22.28515625" bestFit="1" customWidth="1"/>
    <col min="3" max="3" width="9.28515625" style="1" bestFit="1" customWidth="1"/>
    <col min="4" max="4" width="9.28515625" bestFit="1" customWidth="1"/>
    <col min="5" max="5" width="8" bestFit="1" customWidth="1"/>
    <col min="6" max="6" width="9.140625" bestFit="1" customWidth="1"/>
    <col min="7" max="7" width="9.5703125" bestFit="1" customWidth="1"/>
    <col min="8" max="8" width="7.7109375" bestFit="1" customWidth="1"/>
    <col min="9" max="10" width="13.5703125" bestFit="1" customWidth="1"/>
    <col min="11" max="11" width="25.28515625" bestFit="1" customWidth="1"/>
    <col min="12" max="13" width="9.28515625" bestFit="1" customWidth="1"/>
    <col min="14" max="14" width="8" bestFit="1" customWidth="1"/>
    <col min="15" max="15" width="9.140625" bestFit="1" customWidth="1"/>
    <col min="16" max="16" width="9.5703125" bestFit="1" customWidth="1"/>
    <col min="17" max="17" width="7.7109375" bestFit="1" customWidth="1"/>
    <col min="18" max="19" width="13.5703125" bestFit="1" customWidth="1"/>
    <col min="20" max="20" width="22.7109375" bestFit="1" customWidth="1"/>
    <col min="21" max="22" width="9.28515625" bestFit="1" customWidth="1"/>
    <col min="23" max="23" width="8" bestFit="1" customWidth="1"/>
    <col min="24" max="24" width="9.140625" bestFit="1" customWidth="1"/>
    <col min="25" max="25" width="9.5703125" bestFit="1" customWidth="1"/>
    <col min="26" max="26" width="7.7109375" bestFit="1" customWidth="1"/>
    <col min="27" max="28" width="13.5703125" bestFit="1" customWidth="1"/>
    <col min="29" max="29" width="21" bestFit="1" customWidth="1"/>
    <col min="30" max="31" width="9.28515625" bestFit="1" customWidth="1"/>
    <col min="32" max="32" width="8" bestFit="1" customWidth="1"/>
    <col min="33" max="33" width="9.140625" bestFit="1" customWidth="1"/>
    <col min="34" max="34" width="9.5703125" bestFit="1" customWidth="1"/>
    <col min="35" max="35" width="7.7109375" bestFit="1" customWidth="1"/>
  </cols>
  <sheetData>
    <row r="2" spans="2:35" ht="18.75" customHeight="1" x14ac:dyDescent="0.25">
      <c r="B2" s="3" t="s">
        <v>0</v>
      </c>
      <c r="C2" s="30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K2" s="3" t="s">
        <v>0</v>
      </c>
      <c r="L2" s="3" t="s">
        <v>1</v>
      </c>
      <c r="M2" s="3" t="s">
        <v>2</v>
      </c>
      <c r="N2" s="3" t="s">
        <v>3</v>
      </c>
      <c r="O2" s="3" t="s">
        <v>4</v>
      </c>
      <c r="P2" s="3" t="s">
        <v>5</v>
      </c>
      <c r="Q2" s="3" t="s">
        <v>6</v>
      </c>
      <c r="T2" s="13" t="s">
        <v>0</v>
      </c>
      <c r="U2" s="13" t="s">
        <v>1</v>
      </c>
      <c r="V2" s="5" t="s">
        <v>2</v>
      </c>
      <c r="W2" s="5" t="s">
        <v>3</v>
      </c>
      <c r="X2" s="6" t="s">
        <v>4</v>
      </c>
      <c r="Y2" s="5" t="s">
        <v>5</v>
      </c>
      <c r="Z2" s="6" t="s">
        <v>6</v>
      </c>
      <c r="AC2" s="13" t="s">
        <v>0</v>
      </c>
      <c r="AD2" s="5" t="s">
        <v>1</v>
      </c>
      <c r="AE2" s="5" t="s">
        <v>2</v>
      </c>
      <c r="AF2" s="5" t="s">
        <v>3</v>
      </c>
      <c r="AG2" s="5" t="s">
        <v>4</v>
      </c>
      <c r="AH2" s="5" t="s">
        <v>5</v>
      </c>
      <c r="AI2" s="6" t="s">
        <v>6</v>
      </c>
    </row>
    <row r="3" spans="2:35" ht="18.75" customHeight="1" x14ac:dyDescent="0.25">
      <c r="B3" s="5" t="s">
        <v>7</v>
      </c>
      <c r="C3" s="4">
        <v>4</v>
      </c>
      <c r="D3" s="5">
        <v>5</v>
      </c>
      <c r="E3" s="5">
        <v>4</v>
      </c>
      <c r="F3" s="6">
        <v>5</v>
      </c>
      <c r="G3" s="14">
        <f>AVERAGE(Tabela1[[#This Row],[Bruno]:[Pedro]])</f>
        <v>4.5</v>
      </c>
      <c r="H3" s="31">
        <f>_xlfn.STDEV.P(Tabela1[[#This Row],[Bruno]:[Pedro]])</f>
        <v>0.5</v>
      </c>
      <c r="K3" s="13" t="s">
        <v>7</v>
      </c>
      <c r="L3" s="13">
        <v>4</v>
      </c>
      <c r="M3" s="5">
        <v>5</v>
      </c>
      <c r="N3" s="5">
        <v>4</v>
      </c>
      <c r="O3" s="6">
        <v>5</v>
      </c>
      <c r="P3" s="14">
        <f>AVERAGE(Tabela13[[#This Row],[Bruno]:[Pedro]])</f>
        <v>4.5</v>
      </c>
      <c r="Q3" s="6">
        <f>_xlfn.STDEV.P(Tabela13[[#This Row],[Bruno]:[Pedro]])</f>
        <v>0.5</v>
      </c>
      <c r="T3" s="15" t="s">
        <v>8</v>
      </c>
      <c r="U3" s="15">
        <v>2</v>
      </c>
      <c r="V3" s="3">
        <v>2</v>
      </c>
      <c r="W3" s="3">
        <v>1</v>
      </c>
      <c r="X3" s="8">
        <v>2</v>
      </c>
      <c r="Y3" s="16">
        <f>AVERAGE(Tabela14[[#This Row],[Bruno]:[Pedro]])</f>
        <v>1.75</v>
      </c>
      <c r="Z3" s="8">
        <f>_xlfn.STDEV.P(Tabela14[[#This Row],[Bruno]:[Pedro]])</f>
        <v>0.4330127018922193</v>
      </c>
      <c r="AC3" s="15" t="s">
        <v>31</v>
      </c>
      <c r="AD3" s="13">
        <v>5</v>
      </c>
      <c r="AE3" s="5">
        <v>4</v>
      </c>
      <c r="AF3" s="5">
        <v>5</v>
      </c>
      <c r="AG3" s="5">
        <v>5</v>
      </c>
      <c r="AH3" s="43">
        <f>AVERAGE(Tabela15[[#This Row],[Bruno]:[Pedro]])</f>
        <v>4.75</v>
      </c>
      <c r="AI3" s="17">
        <f>_xlfn.STDEV.P(Tabela15[[#This Row],[Bruno]:[Pedro]])</f>
        <v>0.4330127018922193</v>
      </c>
    </row>
    <row r="4" spans="2:35" ht="18.75" customHeight="1" x14ac:dyDescent="0.25">
      <c r="B4" s="3" t="s">
        <v>8</v>
      </c>
      <c r="C4" s="7">
        <v>2</v>
      </c>
      <c r="D4" s="3">
        <v>2</v>
      </c>
      <c r="E4" s="3">
        <v>1</v>
      </c>
      <c r="F4" s="8">
        <v>2</v>
      </c>
      <c r="G4" s="16">
        <f>AVERAGE(Tabela1[[#This Row],[Bruno]:[Pedro]])</f>
        <v>1.75</v>
      </c>
      <c r="H4" s="32">
        <f>_xlfn.STDEV.P(Tabela1[[#This Row],[Bruno]:[Pedro]])</f>
        <v>0.4330127018922193</v>
      </c>
      <c r="K4" s="15" t="s">
        <v>8</v>
      </c>
      <c r="L4" s="15">
        <v>2</v>
      </c>
      <c r="M4" s="3">
        <v>2</v>
      </c>
      <c r="N4" s="3">
        <v>1</v>
      </c>
      <c r="O4" s="8">
        <v>2</v>
      </c>
      <c r="P4" s="16">
        <f>AVERAGE(Tabela13[[#This Row],[Bruno]:[Pedro]])</f>
        <v>1.75</v>
      </c>
      <c r="Q4" s="17">
        <f>_xlfn.STDEV.P(Tabela13[[#This Row],[Bruno]:[Pedro]])</f>
        <v>0.4330127018922193</v>
      </c>
      <c r="T4" s="15" t="s">
        <v>7</v>
      </c>
      <c r="U4" s="15">
        <v>4</v>
      </c>
      <c r="V4" s="3">
        <v>5</v>
      </c>
      <c r="W4" s="3">
        <v>4</v>
      </c>
      <c r="X4" s="8">
        <v>5</v>
      </c>
      <c r="Y4" s="39">
        <f>AVERAGE(Tabela14[[#This Row],[Bruno]:[Pedro]])</f>
        <v>4.5</v>
      </c>
      <c r="Z4" s="8">
        <f>_xlfn.STDEV.P(Tabela14[[#This Row],[Bruno]:[Pedro]])</f>
        <v>0.5</v>
      </c>
      <c r="AC4" s="15" t="s">
        <v>29</v>
      </c>
      <c r="AD4" s="15">
        <v>5</v>
      </c>
      <c r="AE4" s="3">
        <v>5</v>
      </c>
      <c r="AF4" s="3">
        <v>5</v>
      </c>
      <c r="AG4" s="3">
        <v>5</v>
      </c>
      <c r="AH4" s="44">
        <f>AVERAGE(Tabela15[[#This Row],[Bruno]:[Pedro]])</f>
        <v>5</v>
      </c>
      <c r="AI4" s="8">
        <f>_xlfn.STDEV.P(Tabela15[[#This Row],[Bruno]:[Pedro]])</f>
        <v>0</v>
      </c>
    </row>
    <row r="5" spans="2:35" ht="18.75" customHeight="1" x14ac:dyDescent="0.25">
      <c r="B5" s="3" t="s">
        <v>9</v>
      </c>
      <c r="C5" s="9">
        <v>1</v>
      </c>
      <c r="D5" s="3">
        <v>1</v>
      </c>
      <c r="E5" s="3">
        <v>1</v>
      </c>
      <c r="F5" s="8">
        <v>1</v>
      </c>
      <c r="G5" s="18">
        <f>AVERAGE(Tabela1[[#This Row],[Bruno]:[Pedro]])</f>
        <v>1</v>
      </c>
      <c r="H5" s="33">
        <f>_xlfn.STDEV.P(Tabela1[[#This Row],[Bruno]:[Pedro]])</f>
        <v>0</v>
      </c>
      <c r="K5" s="15" t="s">
        <v>10</v>
      </c>
      <c r="L5" s="15">
        <v>3</v>
      </c>
      <c r="M5" s="3">
        <v>4</v>
      </c>
      <c r="N5" s="3">
        <v>4</v>
      </c>
      <c r="O5" s="8">
        <v>4</v>
      </c>
      <c r="P5" s="19">
        <f>AVERAGE(Tabela13[[#This Row],[Bruno]:[Pedro]])</f>
        <v>3.75</v>
      </c>
      <c r="Q5" s="17">
        <f>_xlfn.STDEV.P(Tabela13[[#This Row],[Bruno]:[Pedro]])</f>
        <v>0.4330127018922193</v>
      </c>
      <c r="T5" s="15" t="s">
        <v>9</v>
      </c>
      <c r="U5" s="15">
        <v>1</v>
      </c>
      <c r="V5" s="3">
        <v>1</v>
      </c>
      <c r="W5" s="3">
        <v>1</v>
      </c>
      <c r="X5" s="8">
        <v>1</v>
      </c>
      <c r="Y5" s="18">
        <f>AVERAGE(Tabela14[[#This Row],[Bruno]:[Pedro]])</f>
        <v>1</v>
      </c>
      <c r="Z5" s="8">
        <f>_xlfn.STDEV.P(Tabela14[[#This Row],[Bruno]:[Pedro]])</f>
        <v>0</v>
      </c>
      <c r="AC5" s="15" t="s">
        <v>33</v>
      </c>
      <c r="AD5" s="15">
        <v>3</v>
      </c>
      <c r="AE5" s="3">
        <v>4</v>
      </c>
      <c r="AF5" s="3">
        <v>4</v>
      </c>
      <c r="AG5" s="3">
        <v>4</v>
      </c>
      <c r="AH5" s="45">
        <f>AVERAGE(Tabela15[[#This Row],[Bruno]:[Pedro]])</f>
        <v>3.75</v>
      </c>
      <c r="AI5" s="17">
        <f>_xlfn.STDEV.P(Tabela15[[#This Row],[Bruno]:[Pedro]])</f>
        <v>0.4330127018922193</v>
      </c>
    </row>
    <row r="6" spans="2:35" ht="18.75" customHeight="1" x14ac:dyDescent="0.25">
      <c r="B6" s="3" t="s">
        <v>10</v>
      </c>
      <c r="C6" s="9">
        <v>3</v>
      </c>
      <c r="D6" s="3">
        <v>4</v>
      </c>
      <c r="E6" s="3">
        <v>4</v>
      </c>
      <c r="F6" s="8">
        <v>4</v>
      </c>
      <c r="G6" s="19">
        <f>AVERAGE(Tabela1[[#This Row],[Bruno]:[Pedro]])</f>
        <v>3.75</v>
      </c>
      <c r="H6" s="32">
        <f>_xlfn.STDEV.P(Tabela1[[#This Row],[Bruno]:[Pedro]])</f>
        <v>0.4330127018922193</v>
      </c>
      <c r="K6" s="15" t="s">
        <v>21</v>
      </c>
      <c r="L6" s="15">
        <v>1</v>
      </c>
      <c r="M6" s="3">
        <v>1</v>
      </c>
      <c r="N6" s="3">
        <v>1</v>
      </c>
      <c r="O6" s="8">
        <v>1</v>
      </c>
      <c r="P6" s="18">
        <f>AVERAGE(Tabela13[[#This Row],[Bruno]:[Pedro]])</f>
        <v>1</v>
      </c>
      <c r="Q6" s="8">
        <f>_xlfn.STDEV.P(Tabela13[[#This Row],[Bruno]:[Pedro]])</f>
        <v>0</v>
      </c>
      <c r="T6" s="15" t="s">
        <v>25</v>
      </c>
      <c r="U6" s="15">
        <v>2</v>
      </c>
      <c r="V6" s="3">
        <v>2</v>
      </c>
      <c r="W6" s="3">
        <v>1</v>
      </c>
      <c r="X6" s="8">
        <v>1</v>
      </c>
      <c r="Y6" s="18">
        <f>AVERAGE(Tabela14[[#This Row],[Bruno]:[Pedro]])</f>
        <v>1.5</v>
      </c>
      <c r="Z6" s="17">
        <f>_xlfn.STDEV.P(Tabela14[[#This Row],[Bruno]:[Pedro]])</f>
        <v>0.5</v>
      </c>
      <c r="AC6" s="15" t="s">
        <v>32</v>
      </c>
      <c r="AD6" s="15">
        <v>4</v>
      </c>
      <c r="AE6" s="3">
        <v>4</v>
      </c>
      <c r="AF6" s="3">
        <v>3</v>
      </c>
      <c r="AG6" s="3">
        <v>4</v>
      </c>
      <c r="AH6" s="45">
        <f>AVERAGE(Tabela15[[#This Row],[Bruno]:[Pedro]])</f>
        <v>3.75</v>
      </c>
      <c r="AI6" s="17">
        <f>_xlfn.STDEV.P(Tabela15[[#This Row],[Bruno]:[Pedro]])</f>
        <v>0.4330127018922193</v>
      </c>
    </row>
    <row r="7" spans="2:35" ht="18.75" customHeight="1" x14ac:dyDescent="0.25">
      <c r="B7" s="3" t="s">
        <v>11</v>
      </c>
      <c r="C7" s="9">
        <v>3</v>
      </c>
      <c r="D7" s="3">
        <v>2</v>
      </c>
      <c r="E7" s="3">
        <v>2</v>
      </c>
      <c r="F7" s="8">
        <v>2</v>
      </c>
      <c r="G7" s="16">
        <f>AVERAGE(Tabela1[[#This Row],[Bruno]:[Pedro]])</f>
        <v>2.25</v>
      </c>
      <c r="H7" s="32">
        <f>_xlfn.STDEV.P(Tabela1[[#This Row],[Bruno]:[Pedro]])</f>
        <v>0.4330127018922193</v>
      </c>
      <c r="K7" s="15" t="s">
        <v>11</v>
      </c>
      <c r="L7" s="15">
        <v>3</v>
      </c>
      <c r="M7" s="3">
        <v>2</v>
      </c>
      <c r="N7" s="3">
        <v>2</v>
      </c>
      <c r="O7" s="8">
        <v>2</v>
      </c>
      <c r="P7" s="16">
        <f>AVERAGE(Tabela13[[#This Row],[Bruno]:[Pedro]])</f>
        <v>2.25</v>
      </c>
      <c r="Q7" s="17">
        <f>_xlfn.STDEV.P(Tabela13[[#This Row],[Bruno]:[Pedro]])</f>
        <v>0.4330127018922193</v>
      </c>
      <c r="T7" s="15" t="s">
        <v>26</v>
      </c>
      <c r="U7" s="15">
        <v>3</v>
      </c>
      <c r="V7" s="3">
        <v>2</v>
      </c>
      <c r="W7" s="3">
        <v>2</v>
      </c>
      <c r="X7" s="8">
        <v>2</v>
      </c>
      <c r="Y7" s="16">
        <f>AVERAGE(Tabela14[[#This Row],[Bruno]:[Pedro]])</f>
        <v>2.25</v>
      </c>
      <c r="Z7" s="17">
        <f>_xlfn.STDEV.P(Tabela14[[#This Row],[Bruno]:[Pedro]])</f>
        <v>0.4330127018922193</v>
      </c>
      <c r="AC7" s="15" t="s">
        <v>7</v>
      </c>
      <c r="AD7" s="15">
        <v>4</v>
      </c>
      <c r="AE7" s="3">
        <v>5</v>
      </c>
      <c r="AF7" s="3">
        <v>4</v>
      </c>
      <c r="AG7" s="3">
        <v>5</v>
      </c>
      <c r="AH7" s="44">
        <f>AVERAGE(Tabela15[[#This Row],[Bruno]:[Pedro]])</f>
        <v>4.5</v>
      </c>
      <c r="AI7" s="8">
        <f>_xlfn.STDEV.P(Tabela15[[#This Row],[Bruno]:[Pedro]])</f>
        <v>0.5</v>
      </c>
    </row>
    <row r="8" spans="2:35" ht="18.75" customHeight="1" x14ac:dyDescent="0.25">
      <c r="B8" s="3" t="s">
        <v>12</v>
      </c>
      <c r="C8" s="9">
        <v>2</v>
      </c>
      <c r="D8" s="3">
        <v>3</v>
      </c>
      <c r="E8" s="3">
        <v>2</v>
      </c>
      <c r="F8" s="8">
        <v>2</v>
      </c>
      <c r="G8" s="16">
        <f>AVERAGE(Tabela1[[#This Row],[Bruno]:[Pedro]])</f>
        <v>2.25</v>
      </c>
      <c r="H8" s="34">
        <f>_xlfn.STDEV.P(Tabela1[[#This Row],[Bruno]:[Pedro]])</f>
        <v>0.4330127018922193</v>
      </c>
      <c r="K8" s="15" t="s">
        <v>14</v>
      </c>
      <c r="L8" s="15">
        <v>4</v>
      </c>
      <c r="M8" s="3">
        <v>4</v>
      </c>
      <c r="N8" s="3">
        <v>4</v>
      </c>
      <c r="O8" s="8">
        <v>4</v>
      </c>
      <c r="P8" s="19">
        <f>AVERAGE(Tabela13[[#This Row],[Bruno]:[Pedro]])</f>
        <v>4</v>
      </c>
      <c r="Q8" s="8">
        <f>_xlfn.STDEV.P(Tabela13[[#This Row],[Bruno]:[Pedro]])</f>
        <v>0</v>
      </c>
      <c r="T8" s="15" t="s">
        <v>11</v>
      </c>
      <c r="U8" s="15">
        <v>3</v>
      </c>
      <c r="V8" s="3">
        <v>2</v>
      </c>
      <c r="W8" s="3">
        <v>2</v>
      </c>
      <c r="X8" s="8">
        <v>2</v>
      </c>
      <c r="Y8" s="16">
        <f>AVERAGE(Tabela14[[#This Row],[Bruno]:[Pedro]])</f>
        <v>2.25</v>
      </c>
      <c r="Z8" s="8">
        <f>_xlfn.STDEV.P(Tabela14[[#This Row],[Bruno]:[Pedro]])</f>
        <v>0.4330127018922193</v>
      </c>
      <c r="AC8" s="15" t="s">
        <v>30</v>
      </c>
      <c r="AD8" s="15">
        <v>5</v>
      </c>
      <c r="AE8" s="3">
        <v>5</v>
      </c>
      <c r="AF8" s="3">
        <v>5</v>
      </c>
      <c r="AG8" s="3">
        <v>5</v>
      </c>
      <c r="AH8" s="44">
        <f>AVERAGE(Tabela15[[#This Row],[Bruno]:[Pedro]])</f>
        <v>5</v>
      </c>
      <c r="AI8" s="8">
        <f>_xlfn.STDEV.P(Tabela15[[#This Row],[Bruno]:[Pedro]])</f>
        <v>0</v>
      </c>
    </row>
    <row r="9" spans="2:35" ht="18.75" customHeight="1" x14ac:dyDescent="0.25">
      <c r="B9" s="3" t="s">
        <v>13</v>
      </c>
      <c r="C9" s="9">
        <v>1</v>
      </c>
      <c r="D9" s="3">
        <v>2</v>
      </c>
      <c r="E9" s="3">
        <v>3</v>
      </c>
      <c r="F9" s="8">
        <v>1</v>
      </c>
      <c r="G9" s="16">
        <f>AVERAGE(Tabela1[[#This Row],[Bruno]:[Pedro]])</f>
        <v>1.75</v>
      </c>
      <c r="H9" s="32">
        <f>_xlfn.STDEV.P(Tabela1[[#This Row],[Bruno]:[Pedro]])</f>
        <v>0.82915619758884995</v>
      </c>
      <c r="K9" s="15" t="s">
        <v>22</v>
      </c>
      <c r="L9" s="15">
        <v>2</v>
      </c>
      <c r="M9" s="3">
        <v>3</v>
      </c>
      <c r="N9" s="3">
        <v>3</v>
      </c>
      <c r="O9" s="8">
        <v>3</v>
      </c>
      <c r="P9" s="20">
        <f>AVERAGE(Tabela13[[#This Row],[Bruno]:[Pedro]])</f>
        <v>2.75</v>
      </c>
      <c r="Q9" s="17">
        <f>_xlfn.STDEV.P(Tabela13[[#This Row],[Bruno]:[Pedro]])</f>
        <v>0.4330127018922193</v>
      </c>
      <c r="T9" s="15" t="s">
        <v>10</v>
      </c>
      <c r="U9" s="15">
        <v>3</v>
      </c>
      <c r="V9" s="3">
        <v>4</v>
      </c>
      <c r="W9" s="3">
        <v>4</v>
      </c>
      <c r="X9" s="8">
        <v>4</v>
      </c>
      <c r="Y9" s="19">
        <f>AVERAGE(Tabela14[[#This Row],[Bruno]:[Pedro]])</f>
        <v>3.75</v>
      </c>
      <c r="Z9" s="17">
        <f>_xlfn.STDEV.P(Tabela14[[#This Row],[Bruno]:[Pedro]])</f>
        <v>0.4330127018922193</v>
      </c>
      <c r="AC9" s="15" t="s">
        <v>10</v>
      </c>
      <c r="AD9" s="9">
        <v>3</v>
      </c>
      <c r="AE9" s="3">
        <v>4</v>
      </c>
      <c r="AF9" s="3">
        <v>4</v>
      </c>
      <c r="AG9" s="3">
        <v>4</v>
      </c>
      <c r="AH9" s="45">
        <f>AVERAGE(Tabela15[[#This Row],[Bruno]:[Pedro]])</f>
        <v>3.75</v>
      </c>
      <c r="AI9" s="17">
        <f>_xlfn.STDEV.P(Tabela15[[#This Row],[Bruno]:[Pedro]])</f>
        <v>0.4330127018922193</v>
      </c>
    </row>
    <row r="10" spans="2:35" ht="18.75" customHeight="1" x14ac:dyDescent="0.25">
      <c r="B10" s="3" t="s">
        <v>14</v>
      </c>
      <c r="C10" s="9">
        <v>4</v>
      </c>
      <c r="D10" s="3">
        <v>4</v>
      </c>
      <c r="E10" s="3">
        <v>4</v>
      </c>
      <c r="F10" s="8">
        <v>3</v>
      </c>
      <c r="G10" s="19">
        <f>AVERAGE(Tabela1[[#This Row],[Bruno]:[Pedro]])</f>
        <v>3.75</v>
      </c>
      <c r="H10" s="32">
        <f>_xlfn.STDEV.P(Tabela1[[#This Row],[Bruno]:[Pedro]])</f>
        <v>0.4330127018922193</v>
      </c>
      <c r="K10" s="15" t="s">
        <v>23</v>
      </c>
      <c r="L10" s="15">
        <v>3</v>
      </c>
      <c r="M10" s="3">
        <v>4</v>
      </c>
      <c r="N10" s="3">
        <v>3</v>
      </c>
      <c r="O10" s="8">
        <v>3</v>
      </c>
      <c r="P10" s="19">
        <f>AVERAGE(Tabela13[[#This Row],[Bruno]:[Pedro]])</f>
        <v>3.25</v>
      </c>
      <c r="Q10" s="17">
        <f>_xlfn.STDEV.P(Tabela13[[#This Row],[Bruno]:[Pedro]])</f>
        <v>0.4330127018922193</v>
      </c>
      <c r="T10" s="15" t="s">
        <v>12</v>
      </c>
      <c r="U10" s="9">
        <v>2</v>
      </c>
      <c r="V10" s="3">
        <v>3</v>
      </c>
      <c r="W10" s="3">
        <v>2</v>
      </c>
      <c r="X10" s="8">
        <v>3</v>
      </c>
      <c r="Y10" s="20">
        <f>AVERAGE(Tabela14[[#This Row],[Bruno]:[Pedro]])</f>
        <v>2.5</v>
      </c>
      <c r="Z10" s="8">
        <f>_xlfn.STDEV.P(Tabela14[[#This Row],[Bruno]:[Pedro]])</f>
        <v>0.5</v>
      </c>
      <c r="AC10" s="15" t="s">
        <v>28</v>
      </c>
      <c r="AD10" s="15">
        <v>5</v>
      </c>
      <c r="AE10" s="3">
        <v>5</v>
      </c>
      <c r="AF10" s="3">
        <v>5</v>
      </c>
      <c r="AG10" s="3">
        <v>5</v>
      </c>
      <c r="AH10" s="44">
        <f>AVERAGE(Tabela15[[#This Row],[Bruno]:[Pedro]])</f>
        <v>5</v>
      </c>
      <c r="AI10" s="8">
        <f>_xlfn.STDEV.P(Tabela15[[#This Row],[Bruno]:[Pedro]])</f>
        <v>0</v>
      </c>
    </row>
    <row r="11" spans="2:35" ht="18.75" customHeight="1" x14ac:dyDescent="0.25">
      <c r="B11" s="3" t="s">
        <v>15</v>
      </c>
      <c r="C11" s="9">
        <v>2</v>
      </c>
      <c r="D11" s="3">
        <v>3</v>
      </c>
      <c r="E11" s="3">
        <v>2</v>
      </c>
      <c r="F11" s="8">
        <v>2</v>
      </c>
      <c r="G11" s="16">
        <f>AVERAGE(Tabela1[[#This Row],[Bruno]:[Pedro]])</f>
        <v>2.25</v>
      </c>
      <c r="H11" s="34">
        <f>_xlfn.STDEV.P(Tabela1[[#This Row],[Bruno]:[Pedro]])</f>
        <v>0.4330127018922193</v>
      </c>
      <c r="K11" s="15" t="s">
        <v>9</v>
      </c>
      <c r="L11" s="15">
        <v>1</v>
      </c>
      <c r="M11" s="3">
        <v>1</v>
      </c>
      <c r="N11" s="3">
        <v>1</v>
      </c>
      <c r="O11" s="8">
        <v>1</v>
      </c>
      <c r="P11" s="18">
        <f>AVERAGE(Tabela13[[#This Row],[Bruno]:[Pedro]])</f>
        <v>1</v>
      </c>
      <c r="Q11" s="8">
        <f>_xlfn.STDEV.P(Tabela13[[#This Row],[Bruno]:[Pedro]])</f>
        <v>0</v>
      </c>
      <c r="T11" s="15" t="s">
        <v>13</v>
      </c>
      <c r="U11" s="9">
        <v>1</v>
      </c>
      <c r="V11" s="3">
        <v>2</v>
      </c>
      <c r="W11" s="3">
        <v>3</v>
      </c>
      <c r="X11" s="8">
        <v>1</v>
      </c>
      <c r="Y11" s="16">
        <f>AVERAGE(Tabela14[[#This Row],[Bruno]:[Pedro]])</f>
        <v>1.75</v>
      </c>
      <c r="Z11" s="17">
        <f>_xlfn.STDEV.P(Tabela14[[#This Row],[Bruno]:[Pedro]])</f>
        <v>0.82915619758884995</v>
      </c>
      <c r="AC11" s="15" t="s">
        <v>34</v>
      </c>
      <c r="AD11" s="15">
        <v>3</v>
      </c>
      <c r="AE11" s="3">
        <v>4</v>
      </c>
      <c r="AF11" s="3">
        <v>4</v>
      </c>
      <c r="AG11" s="3">
        <v>3</v>
      </c>
      <c r="AH11" s="45">
        <f>AVERAGE(Tabela15[[#This Row],[Bruno]:[Pedro]])</f>
        <v>3.5</v>
      </c>
      <c r="AI11" s="17">
        <f>_xlfn.STDEV.P(Tabela15[[#This Row],[Bruno]:[Pedro]])</f>
        <v>0.5</v>
      </c>
    </row>
    <row r="12" spans="2:35" ht="18.75" customHeight="1" x14ac:dyDescent="0.25">
      <c r="B12" s="11" t="s">
        <v>16</v>
      </c>
      <c r="C12" s="10">
        <v>2</v>
      </c>
      <c r="D12" s="11">
        <v>3</v>
      </c>
      <c r="E12" s="11">
        <v>3</v>
      </c>
      <c r="F12" s="12">
        <v>3</v>
      </c>
      <c r="G12" s="22">
        <f>AVERAGE(Tabela1[[#This Row],[Bruno]:[Pedro]])</f>
        <v>2.75</v>
      </c>
      <c r="H12" s="35">
        <f>_xlfn.STDEV.P(Tabela1[[#This Row],[Bruno]:[Pedro]])</f>
        <v>0.4330127018922193</v>
      </c>
      <c r="K12" s="21" t="s">
        <v>24</v>
      </c>
      <c r="L12" s="21">
        <v>1</v>
      </c>
      <c r="M12" s="11">
        <v>1</v>
      </c>
      <c r="N12" s="11">
        <v>1</v>
      </c>
      <c r="O12" s="12">
        <v>1</v>
      </c>
      <c r="P12" s="40">
        <f>AVERAGE(Tabela13[[#This Row],[Bruno]:[Pedro]])</f>
        <v>1</v>
      </c>
      <c r="Q12" s="12">
        <f>_xlfn.STDEV.P(Tabela13[[#This Row],[Bruno]:[Pedro]])</f>
        <v>0</v>
      </c>
      <c r="T12" s="21" t="s">
        <v>27</v>
      </c>
      <c r="U12" s="21">
        <v>4</v>
      </c>
      <c r="V12" s="11">
        <v>4</v>
      </c>
      <c r="W12" s="11">
        <v>4</v>
      </c>
      <c r="X12" s="12">
        <v>4</v>
      </c>
      <c r="Y12" s="42">
        <f>AVERAGE(Tabela14[[#This Row],[Bruno]:[Pedro]])</f>
        <v>4</v>
      </c>
      <c r="Z12" s="12">
        <f>_xlfn.STDEV.P(Tabela14[[#This Row],[Bruno]:[Pedro]])</f>
        <v>0</v>
      </c>
      <c r="AC12" s="21" t="s">
        <v>35</v>
      </c>
      <c r="AD12" s="21">
        <v>1</v>
      </c>
      <c r="AE12" s="11">
        <v>2</v>
      </c>
      <c r="AF12" s="11">
        <v>3</v>
      </c>
      <c r="AG12" s="11">
        <v>2</v>
      </c>
      <c r="AH12" s="47">
        <f>AVERAGE(Tabela15[[#This Row],[Bruno]:[Pedro]])</f>
        <v>2</v>
      </c>
      <c r="AI12" s="23">
        <f>_xlfn.STDEV.P(Tabela15[[#This Row],[Bruno]:[Pedro]])</f>
        <v>0.70710678118654757</v>
      </c>
    </row>
    <row r="13" spans="2:35" ht="18.75" customHeight="1" x14ac:dyDescent="0.25">
      <c r="B13" s="3"/>
      <c r="C13" s="4"/>
      <c r="D13" s="5"/>
      <c r="E13" s="5"/>
      <c r="F13" s="6"/>
      <c r="G13" s="3"/>
      <c r="H13" s="3"/>
      <c r="K13" s="3"/>
      <c r="L13" s="15"/>
      <c r="M13" s="3"/>
      <c r="N13" s="3"/>
      <c r="O13" s="8"/>
      <c r="P13" s="3"/>
      <c r="Q13" s="3"/>
      <c r="T13" s="3"/>
      <c r="U13" s="15"/>
      <c r="V13" s="3"/>
      <c r="W13" s="3"/>
      <c r="X13" s="8"/>
      <c r="Y13" s="3"/>
      <c r="Z13" s="3"/>
      <c r="AC13" s="3"/>
      <c r="AD13" s="15"/>
      <c r="AE13" s="3"/>
      <c r="AF13" s="3"/>
      <c r="AG13" s="3"/>
      <c r="AH13" s="8"/>
      <c r="AI13" s="3"/>
    </row>
    <row r="14" spans="2:35" ht="18.75" customHeight="1" x14ac:dyDescent="0.25">
      <c r="B14" s="2" t="s">
        <v>5</v>
      </c>
      <c r="C14" s="24">
        <f>AVERAGE(C3:C12)</f>
        <v>2.4</v>
      </c>
      <c r="D14" s="25">
        <f t="shared" ref="D14:F14" si="0">AVERAGE(D3:D12)</f>
        <v>2.9</v>
      </c>
      <c r="E14" s="25">
        <f t="shared" si="0"/>
        <v>2.6</v>
      </c>
      <c r="F14" s="26">
        <f t="shared" si="0"/>
        <v>2.5</v>
      </c>
      <c r="G14" s="36">
        <f>AVERAGE(Tabela1[[#This Row],[Bruno]:[Pedro]])</f>
        <v>2.6</v>
      </c>
      <c r="H14" s="37"/>
      <c r="K14" s="2" t="s">
        <v>5</v>
      </c>
      <c r="L14" s="24">
        <f>AVERAGE(L3:L12)</f>
        <v>2.4</v>
      </c>
      <c r="M14" s="25">
        <f t="shared" ref="M14:P14" si="1">AVERAGE(M3:M12)</f>
        <v>2.7</v>
      </c>
      <c r="N14" s="25">
        <f t="shared" si="1"/>
        <v>2.4</v>
      </c>
      <c r="O14" s="26">
        <f t="shared" si="1"/>
        <v>2.6</v>
      </c>
      <c r="P14" s="36">
        <f>AVERAGE(Tabela13[[#This Row],[Bruno]:[Pedro]])</f>
        <v>2.5249999999999999</v>
      </c>
      <c r="Q14" s="37"/>
      <c r="T14" s="2" t="s">
        <v>5</v>
      </c>
      <c r="U14" s="24">
        <f>AVERAGE(U3:U12)</f>
        <v>2.5</v>
      </c>
      <c r="V14" s="25">
        <f t="shared" ref="V14:Y14" si="2">AVERAGE(V3:V12)</f>
        <v>2.7</v>
      </c>
      <c r="W14" s="25">
        <f t="shared" si="2"/>
        <v>2.4</v>
      </c>
      <c r="X14" s="26">
        <f t="shared" si="2"/>
        <v>2.5</v>
      </c>
      <c r="Y14" s="36">
        <f>AVERAGE(Tabela14[[#This Row],[Bruno]:[Pedro]])</f>
        <v>2.5249999999999999</v>
      </c>
      <c r="Z14" s="37"/>
      <c r="AC14" s="2" t="s">
        <v>5</v>
      </c>
      <c r="AD14" s="24">
        <f>AVERAGE(AD3:AD12)</f>
        <v>3.8</v>
      </c>
      <c r="AE14" s="25">
        <f t="shared" ref="AE14:AH14" si="3">AVERAGE(AE3:AE12)</f>
        <v>4.2</v>
      </c>
      <c r="AF14" s="25">
        <f t="shared" si="3"/>
        <v>4.2</v>
      </c>
      <c r="AG14" s="25">
        <f t="shared" si="3"/>
        <v>4.2</v>
      </c>
      <c r="AH14" s="46">
        <f>AVERAGE(Tabela15[[#This Row],[Bruno]:[Pedro]])</f>
        <v>4.0999999999999996</v>
      </c>
      <c r="AI14" s="37"/>
    </row>
    <row r="15" spans="2:35" ht="18.75" customHeight="1" x14ac:dyDescent="0.25">
      <c r="B15" s="2" t="s">
        <v>6</v>
      </c>
      <c r="C15" s="27">
        <f>_xlfn.STDEV.P(C3:C12)</f>
        <v>1.019803902718557</v>
      </c>
      <c r="D15" s="28">
        <f t="shared" ref="D15:F15" si="4">_xlfn.STDEV.P(D3:D12)</f>
        <v>1.1357816691600546</v>
      </c>
      <c r="E15" s="28">
        <f t="shared" si="4"/>
        <v>1.1135528725660044</v>
      </c>
      <c r="F15" s="29">
        <f t="shared" si="4"/>
        <v>1.2041594578792296</v>
      </c>
      <c r="G15" s="28">
        <f>AVERAGE(Tabela1[[#This Row],[Bruno]:[Pedro]])</f>
        <v>1.1183244755809614</v>
      </c>
      <c r="H15" s="38"/>
      <c r="K15" s="2" t="s">
        <v>6</v>
      </c>
      <c r="L15" s="27">
        <f>_xlfn.STDEV.P(L3:L12)</f>
        <v>1.1135528725660044</v>
      </c>
      <c r="M15" s="28">
        <f t="shared" ref="M15:P15" si="5">_xlfn.STDEV.P(M3:M12)</f>
        <v>1.4177446878757824</v>
      </c>
      <c r="N15" s="28">
        <f t="shared" si="5"/>
        <v>1.2806248474865698</v>
      </c>
      <c r="O15" s="29">
        <f t="shared" si="5"/>
        <v>1.3564659966250536</v>
      </c>
      <c r="P15" s="28">
        <f>AVERAGE(Tabela13[[#This Row],[Bruno]:[Pedro]])</f>
        <v>1.2920971011383524</v>
      </c>
      <c r="Q15" s="38"/>
      <c r="T15" s="2" t="s">
        <v>6</v>
      </c>
      <c r="U15" s="27">
        <f>_xlfn.STDEV.P(U3:U12)</f>
        <v>1.0246950765959599</v>
      </c>
      <c r="V15" s="28">
        <f t="shared" ref="V15:Y15" si="6">_xlfn.STDEV.P(V3:V12)</f>
        <v>1.1874342087037917</v>
      </c>
      <c r="W15" s="28">
        <f t="shared" si="6"/>
        <v>1.2</v>
      </c>
      <c r="X15" s="29">
        <f t="shared" si="6"/>
        <v>1.3601470508735443</v>
      </c>
      <c r="Y15" s="28">
        <f>AVERAGE(Tabela14[[#This Row],[Bruno]:[Pedro]])</f>
        <v>1.193069084043324</v>
      </c>
      <c r="Z15" s="38"/>
      <c r="AC15" s="2" t="s">
        <v>6</v>
      </c>
      <c r="AD15" s="27">
        <f>_xlfn.STDEV.P(AD3:AD12)</f>
        <v>1.2489995996796797</v>
      </c>
      <c r="AE15" s="28">
        <f t="shared" ref="AE15:AH15" si="7">_xlfn.STDEV.P(AE3:AE12)</f>
        <v>0.87177978870813466</v>
      </c>
      <c r="AF15" s="28">
        <f t="shared" si="7"/>
        <v>0.74833147735478833</v>
      </c>
      <c r="AG15" s="28">
        <f t="shared" si="7"/>
        <v>0.9797958971132712</v>
      </c>
      <c r="AH15" s="29">
        <f>AVERAGE(Tabela15[[#This Row],[Bruno]:[Pedro]])</f>
        <v>0.96222669071396849</v>
      </c>
      <c r="AI15" s="38"/>
    </row>
    <row r="16" spans="2:35" ht="18.75" customHeight="1" x14ac:dyDescent="0.25">
      <c r="B16" s="3" t="s">
        <v>17</v>
      </c>
      <c r="C16" s="9"/>
      <c r="D16" s="3"/>
      <c r="E16" s="3"/>
      <c r="F16" s="8"/>
      <c r="G16" s="3"/>
      <c r="H16" s="3"/>
      <c r="K16" s="3" t="s">
        <v>18</v>
      </c>
      <c r="L16" s="21"/>
      <c r="M16" s="11"/>
      <c r="N16" s="11"/>
      <c r="O16" s="12"/>
      <c r="P16" s="3"/>
      <c r="Q16" s="3"/>
      <c r="T16" s="3" t="s">
        <v>19</v>
      </c>
      <c r="U16" s="21"/>
      <c r="V16" s="11"/>
      <c r="W16" s="11"/>
      <c r="X16" s="12"/>
      <c r="Y16" s="41"/>
      <c r="Z16" s="3"/>
      <c r="AC16" s="3" t="s">
        <v>20</v>
      </c>
      <c r="AD16" s="21"/>
      <c r="AE16" s="11"/>
      <c r="AF16" s="11"/>
      <c r="AG16" s="11"/>
      <c r="AH16" s="12"/>
      <c r="AI16" s="3"/>
    </row>
    <row r="27" spans="7:7" x14ac:dyDescent="0.25">
      <c r="G27" s="48"/>
    </row>
  </sheetData>
  <pageMargins left="0.7" right="0.7" top="0.75" bottom="0.75" header="0.3" footer="0.3"/>
  <pageSetup paperSize="9" orientation="portrait" horizontalDpi="4294967293" verticalDpi="0" r:id="rId1"/>
  <ignoredErrors>
    <ignoredError sqref="Q14:T14 R15:T15 Z14:AC14 AA15:AC15 AI14" calculatedColumn="1"/>
  </ignoredErrors>
  <tableParts count="4">
    <tablePart r:id="rId2"/>
    <tablePart r:id="rId3"/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x</cp:lastModifiedBy>
  <dcterms:created xsi:type="dcterms:W3CDTF">2024-05-08T22:12:31Z</dcterms:created>
  <dcterms:modified xsi:type="dcterms:W3CDTF">2024-05-09T22:29:07Z</dcterms:modified>
</cp:coreProperties>
</file>